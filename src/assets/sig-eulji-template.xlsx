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-28920" yWindow="-120" windowWidth="29040" windowHeight="15840"/>
  </bookViews>
  <sheets>
    <sheet name="대금지급(을)" sheetId="1" r:id="rId1"/>
  </sheets>
  <definedNames>
    <definedName name="list_PGrp">#REF!</definedName>
    <definedName name="list_PSt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1" l="1"/>
  <c r="V1" i="1"/>
  <c r="T1" i="1" l="1"/>
  <c r="M3" i="1"/>
  <c r="H3" i="1"/>
  <c r="G3" i="1"/>
  <c r="F3" i="1"/>
  <c r="E3" i="1"/>
  <c r="U3" i="1" l="1"/>
  <c r="V3" i="1" l="1"/>
</calcChain>
</file>

<file path=xl/sharedStrings.xml><?xml version="1.0" encoding="utf-8"?>
<sst xmlns="http://schemas.openxmlformats.org/spreadsheetml/2006/main" count="34" uniqueCount="29">
  <si>
    <t>예산파일 프로젝트코드 통일</t>
  </si>
  <si>
    <t>계산서 발행일</t>
  </si>
  <si>
    <t>예산파일 업체명 통일</t>
  </si>
  <si>
    <t>자동값</t>
  </si>
  <si>
    <t>필터</t>
  </si>
  <si>
    <t>프로젝트 코드</t>
  </si>
  <si>
    <t>일자</t>
  </si>
  <si>
    <t>입고일자</t>
  </si>
  <si>
    <t>업체</t>
  </si>
  <si>
    <t>브랜드</t>
  </si>
  <si>
    <t>시즌</t>
  </si>
  <si>
    <t>생산 구분</t>
  </si>
  <si>
    <t>생산 차수</t>
  </si>
  <si>
    <t>스타일코드</t>
  </si>
  <si>
    <t>종류</t>
  </si>
  <si>
    <t>ERP계정과목</t>
  </si>
  <si>
    <t>품명</t>
  </si>
  <si>
    <t>컬러</t>
  </si>
  <si>
    <t>단가.</t>
  </si>
  <si>
    <t>SKU 기획수량</t>
  </si>
  <si>
    <t>발주수량</t>
  </si>
  <si>
    <t>SKU 입고수량</t>
  </si>
  <si>
    <t>단위</t>
  </si>
  <si>
    <t>금액</t>
  </si>
  <si>
    <t>VAT</t>
  </si>
  <si>
    <t>합계</t>
  </si>
  <si>
    <t>담당자</t>
  </si>
  <si>
    <t>산출근거 및 비고</t>
  </si>
  <si>
    <t>SKU당 요척량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</si>
</sst>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1" fontId="0" fillId="0" borderId="0" xfId="1" applyNumberFormat="1" applyFont="1" applyFill="1" applyAlignment="1">
      <alignment horizontal="center" vertical="center"/>
    </xf>
    <xf numFmtId="41" fontId="5" fillId="3" borderId="0" xfId="1" applyNumberFormat="1" applyFont="1" applyFill="1" applyAlignment="1">
      <alignment horizontal="center" vertical="center"/>
    </xf>
  </cellXfs>
  <cellStyles count="2">
    <cellStyle name="표준" xfId="0" builtinId="0"/>
    <cellStyle name="하이퍼링크" xfId="1" builtinId="8"/>
  </cellStyles>
  <dxfs count="2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3" formatCode="_-* #,##0_-;\-* #,##0_-;_-* &quot;-&quot;_-;_-@_-"/>
      <alignment horizontal="center" vertical="center" textRotation="0" wrapText="0" indent="0" justifyLastLine="0" shrinkToFit="0" readingOrder="0"/>
    </dxf>
    <dxf>
      <numFmt numFmtId="33" formatCode="_-* #,##0_-;\-* #,##0_-;_-* &quot;-&quot;_-;_-@_-"/>
      <alignment horizontal="center" vertical="center" textRotation="0" wrapText="0" indent="0" justifyLastLine="0" shrinkToFit="0" readingOrder="0"/>
    </dxf>
    <dxf>
      <numFmt numFmtId="33" formatCode="_-* #,##0_-;\-* #,##0_-;_-* &quot;-&quot;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3" formatCode="_-* #,##0_-;\-* #,##0_-;_-* &quot;-&quot;_-;_-@_-"/>
      <alignment horizontal="center" vertical="center" textRotation="0" wrapText="0" indent="0" justifyLastLine="0" shrinkToFit="0" readingOrder="0"/>
    </dxf>
    <dxf>
      <numFmt numFmtId="33" formatCode="_-* #,##0_-;\-* #,##0_-;_-* &quot;-&quot;_-;_-@_-"/>
      <alignment horizontal="center" vertical="center" textRotation="0" wrapText="0" indent="0" justifyLastLine="0" shrinkToFit="0" readingOrder="0"/>
    </dxf>
    <dxf>
      <numFmt numFmtId="33" formatCode="_-* #,##0_-;\-* #,##0_-;_-* &quot;-&quot;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6" formatCode="#,##0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거래명세표" displayName="거래명세표" ref="A2:X3" totalsRowShown="0" headerRowDxfId="25" dataDxfId="24">
  <autoFilter ref="A2:X3"/>
  <tableColumns count="24">
    <tableColumn id="1" name="프로젝트 코드" dataDxfId="23"/>
    <tableColumn id="2" name="일자" dataDxfId="22"/>
    <tableColumn id="5" name="입고일자" dataDxfId="21"/>
    <tableColumn id="3" name="업체" dataDxfId="20"/>
    <tableColumn id="4" name="브랜드" dataDxfId="19">
      <calculatedColumnFormula>MID(A3,1,11)</calculatedColumnFormula>
    </tableColumn>
    <tableColumn id="6" name="시즌" dataDxfId="18">
      <calculatedColumnFormula>MID(거래명세표[[#This Row],[프로젝트 코드]],13,6)</calculatedColumnFormula>
    </tableColumn>
    <tableColumn id="7" name="생산 구분" dataDxfId="17">
      <calculatedColumnFormula>MID(거래명세표[[#This Row],[프로젝트 코드]],20,3)</calculatedColumnFormula>
    </tableColumn>
    <tableColumn id="8" name="생산 차수" dataDxfId="16">
      <calculatedColumnFormula>MID(거래명세표[[#This Row],[프로젝트 코드]],24,1)</calculatedColumnFormula>
    </tableColumn>
    <tableColumn id="13" name="스타일코드" dataDxfId="15"/>
    <tableColumn id="14" name="종류" dataDxfId="14"/>
    <tableColumn id="15" name="ERP계정과목" dataDxfId="13"/>
    <tableColumn id="16" name="품명" dataDxfId="12"/>
    <tableColumn id="17" name="컬러" dataDxfId="11">
      <calculatedColumnFormula>MID(거래명세표[[#This Row],[스타일코드]],13,2)</calculatedColumnFormula>
    </tableColumn>
    <tableColumn id="18" name="단가." dataDxfId="10"/>
    <tableColumn id="19" name="SKU당 요척량" dataDxfId="9"/>
    <tableColumn id="20" name="SKU 기획수량" dataDxfId="8"/>
    <tableColumn id="21" name="발주수량" dataDxfId="7"/>
    <tableColumn id="22" name="SKU 입고수량" dataDxfId="6"/>
    <tableColumn id="24" name="단위" dataDxfId="5"/>
    <tableColumn id="26" name="금액" dataDxfId="4"/>
    <tableColumn id="27" name="VAT" dataDxfId="3">
      <calculatedColumnFormula>거래명세표[[#This Row],[금액]]*0.1</calculatedColumnFormula>
    </tableColumn>
    <tableColumn id="28" name="합계" dataDxfId="2">
      <calculatedColumnFormula>거래명세표[[#This Row],[VAT]]+거래명세표[[#This Row],[금액]]</calculatedColumnFormula>
    </tableColumn>
    <tableColumn id="29" name="담당자" dataDxfId="1"/>
    <tableColumn id="30" name="산출근거 및 비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topLeftCell="A2" zoomScale="85" zoomScaleNormal="85" workbookViewId="0">
      <selection activeCell="I14" sqref="I14"/>
    </sheetView>
  </sheetViews>
  <sheetFormatPr defaultRowHeight="16.5" x14ac:dyDescent="0.3"/>
  <cols>
    <col min="1" max="1" width="34.125" style="1" bestFit="1" customWidth="1"/>
    <col min="2" max="2" width="12.125" style="1" customWidth="1"/>
    <col min="3" max="3" width="13.25" style="1" bestFit="1" customWidth="1"/>
    <col min="4" max="4" width="17.125" style="1" customWidth="1"/>
    <col min="5" max="5" width="12.75" style="1" bestFit="1" customWidth="1"/>
    <col min="6" max="6" width="9" style="1"/>
    <col min="7" max="8" width="10.875" style="1" customWidth="1"/>
    <col min="9" max="9" width="21.5" style="1" customWidth="1"/>
    <col min="10" max="10" width="9" style="1"/>
    <col min="11" max="11" width="16.5" style="1" bestFit="1" customWidth="1"/>
    <col min="12" max="12" width="39.25" style="1" bestFit="1" customWidth="1"/>
    <col min="13" max="13" width="9" style="1"/>
    <col min="14" max="14" width="14.125" style="1" customWidth="1"/>
    <col min="15" max="16" width="14.5" style="1" customWidth="1"/>
    <col min="17" max="17" width="10.25" style="1" customWidth="1"/>
    <col min="18" max="18" width="14.5" style="1" customWidth="1"/>
    <col min="19" max="19" width="9" style="1"/>
    <col min="20" max="22" width="14.375" style="1" customWidth="1"/>
    <col min="23" max="23" width="9" style="1"/>
    <col min="24" max="24" width="33.25" style="1" customWidth="1"/>
  </cols>
  <sheetData>
    <row r="1" spans="1:24" ht="30.75" customHeight="1" x14ac:dyDescent="0.3">
      <c r="A1" s="3" t="s">
        <v>0</v>
      </c>
      <c r="B1" s="3" t="s">
        <v>1</v>
      </c>
      <c r="C1" s="3"/>
      <c r="D1" s="3" t="s">
        <v>2</v>
      </c>
      <c r="E1" s="7" t="s">
        <v>3</v>
      </c>
      <c r="F1" s="7" t="s">
        <v>3</v>
      </c>
      <c r="G1" s="7" t="s">
        <v>3</v>
      </c>
      <c r="H1" s="7" t="s">
        <v>3</v>
      </c>
      <c r="J1" s="7" t="s">
        <v>4</v>
      </c>
      <c r="K1" s="7" t="s">
        <v>3</v>
      </c>
      <c r="M1" s="7" t="s">
        <v>3</v>
      </c>
      <c r="T1" s="9">
        <f>SUM(T3:T3)</f>
        <v>0</v>
      </c>
      <c r="U1" s="9">
        <f>SUM(U3:U3)</f>
        <v>0</v>
      </c>
      <c r="V1" s="10">
        <f>SUM(V3:V3)</f>
        <v>0</v>
      </c>
      <c r="X1" s="4"/>
    </row>
    <row r="2" spans="1:24" s="1" customFormat="1" ht="29.25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2" t="s">
        <v>13</v>
      </c>
      <c r="J2" s="1" t="s">
        <v>14</v>
      </c>
      <c r="K2" s="1" t="s">
        <v>15</v>
      </c>
      <c r="L2" s="2" t="s">
        <v>16</v>
      </c>
      <c r="M2" s="1" t="s">
        <v>17</v>
      </c>
      <c r="N2" s="2" t="s">
        <v>18</v>
      </c>
      <c r="O2" s="2" t="s">
        <v>28</v>
      </c>
      <c r="P2" s="2" t="s">
        <v>19</v>
      </c>
      <c r="Q2" s="1" t="s">
        <v>20</v>
      </c>
      <c r="R2" s="1" t="s">
        <v>21</v>
      </c>
      <c r="S2" s="2" t="s">
        <v>22</v>
      </c>
      <c r="T2" s="1" t="s">
        <v>23</v>
      </c>
      <c r="U2" s="1" t="s">
        <v>24</v>
      </c>
      <c r="V2" s="1" t="s">
        <v>25</v>
      </c>
      <c r="W2" s="2" t="s">
        <v>26</v>
      </c>
      <c r="X2" s="2" t="s">
        <v>27</v>
      </c>
    </row>
    <row r="3" spans="1:24" x14ac:dyDescent="0.3">
      <c r="B3" s="5"/>
      <c r="C3" s="5"/>
      <c r="E3" s="1" t="str">
        <f t="shared" ref="E3" si="0">MID(A3,1,11)</f>
        <v/>
      </c>
      <c r="F3" s="1" t="str">
        <f>MID(거래명세표[[#This Row],[프로젝트 코드]],13,6)</f>
        <v/>
      </c>
      <c r="G3" s="1" t="str">
        <f>MID(거래명세표[[#This Row],[프로젝트 코드]],20,3)</f>
        <v/>
      </c>
      <c r="H3" s="1" t="str">
        <f>MID(거래명세표[[#This Row],[프로젝트 코드]],24,1)</f>
        <v/>
      </c>
      <c r="M3" s="1" t="str">
        <f>MID(거래명세표[[#This Row],[스타일코드]],13,2)</f>
        <v/>
      </c>
      <c r="N3" s="8"/>
      <c r="P3" s="6"/>
      <c r="Q3" s="6"/>
      <c r="R3" s="6"/>
      <c r="T3" s="6"/>
      <c r="U3" s="6">
        <f>거래명세표[[#This Row],[금액]]*0.1</f>
        <v>0</v>
      </c>
      <c r="V3" s="6">
        <f>거래명세표[[#This Row],[VAT]]+거래명세표[[#This Row],[금액]]</f>
        <v>0</v>
      </c>
    </row>
  </sheetData>
  <phoneticPr fontId="2" type="noConversion"/>
  <dataValidations count="1">
    <dataValidation type="list" allowBlank="1" showInputMessage="1" showErrorMessage="1" sqref="J3">
      <formula1>"임가공,원단,부자재,테스트,자수,검수비,나염"</formula1>
    </dataValidation>
  </dataValidations>
  <pageMargins left="0.7" right="0.7" top="0.75" bottom="0.75" header="0.3" footer="0.3"/>
  <pageSetup paperSize="9" orientation="portrait" verticalDpi="20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392eb3-d847-4535-ab60-c4c775a6ed63" xsi:nil="true"/>
    <lcf76f155ced4ddcb4097134ff3c332f xmlns="12e1674c-c3f2-4dbf-8d90-f3aa2907a47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9A8FED60AD54E45AAC5569F618E4AD8" ma:contentTypeVersion="17" ma:contentTypeDescription="새 문서를 만듭니다." ma:contentTypeScope="" ma:versionID="63d678b2d439222710f77ac201e434ed">
  <xsd:schema xmlns:xsd="http://www.w3.org/2001/XMLSchema" xmlns:xs="http://www.w3.org/2001/XMLSchema" xmlns:p="http://schemas.microsoft.com/office/2006/metadata/properties" xmlns:ns2="12e1674c-c3f2-4dbf-8d90-f3aa2907a478" xmlns:ns3="1b392eb3-d847-4535-ab60-c4c775a6ed63" targetNamespace="http://schemas.microsoft.com/office/2006/metadata/properties" ma:root="true" ma:fieldsID="241721be8e3aa67316a438b192b67549" ns2:_="" ns3:_="">
    <xsd:import namespace="12e1674c-c3f2-4dbf-8d90-f3aa2907a478"/>
    <xsd:import namespace="1b392eb3-d847-4535-ab60-c4c775a6e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1674c-c3f2-4dbf-8d90-f3aa2907a4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361d2653-92af-492f-a417-8ce4095f1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92eb3-d847-4535-ab60-c4c775a6ed6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d36322-a62d-42fc-a466-0274556a0dae}" ma:internalName="TaxCatchAll" ma:showField="CatchAllData" ma:web="1b392eb3-d847-4535-ab60-c4c775a6e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AA4463-546C-4929-A820-C881AD29E7B1}">
  <ds:schemaRefs>
    <ds:schemaRef ds:uri="http://schemas.microsoft.com/office/2006/metadata/properties"/>
    <ds:schemaRef ds:uri="http://schemas.microsoft.com/office/infopath/2007/PartnerControls"/>
    <ds:schemaRef ds:uri="1b392eb3-d847-4535-ab60-c4c775a6ed63"/>
    <ds:schemaRef ds:uri="12e1674c-c3f2-4dbf-8d90-f3aa2907a478"/>
  </ds:schemaRefs>
</ds:datastoreItem>
</file>

<file path=customXml/itemProps2.xml><?xml version="1.0" encoding="utf-8"?>
<ds:datastoreItem xmlns:ds="http://schemas.openxmlformats.org/officeDocument/2006/customXml" ds:itemID="{48DB0448-FBAC-4626-A3EB-01A68BECBB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30A4AC-E2C1-4D75-B76B-48B08E1D3C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e1674c-c3f2-4dbf-8d90-f3aa2907a478"/>
    <ds:schemaRef ds:uri="1b392eb3-d847-4535-ab60-c4c775a6ed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대금지급(을)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FIVE SPACE / SIG</dc:creator>
  <cp:keywords/>
  <dc:description/>
  <cp:lastModifiedBy>FIVE SPACE / SIG</cp:lastModifiedBy>
  <cp:revision/>
  <dcterms:created xsi:type="dcterms:W3CDTF">2025-11-04T01:52:27Z</dcterms:created>
  <dcterms:modified xsi:type="dcterms:W3CDTF">2026-10-24T15:00:57Z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0x01010099A8FED60AD54E45AAC5569F618E4AD8</vt:lpwstr>
  </property>
  <property fmtid="{D5CDD505-2E9C-101B-9397-08002B2CF9AE}" pid="3" name="MediaServiceImageTags">
    <vt:lpwstr/>
  </property>
</Properties>
</file>